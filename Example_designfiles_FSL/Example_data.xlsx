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script\"/>
    </mc:Choice>
  </mc:AlternateContent>
  <xr:revisionPtr revIDLastSave="0" documentId="13_ncr:1_{D1733B47-4C08-49C8-9D38-F6D98CAD15F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2" i="1"/>
  <c r="D37" i="1"/>
  <c r="B37" i="1"/>
</calcChain>
</file>

<file path=xl/sharedStrings.xml><?xml version="1.0" encoding="utf-8"?>
<sst xmlns="http://schemas.openxmlformats.org/spreadsheetml/2006/main" count="40" uniqueCount="40">
  <si>
    <t>GA-1</t>
    <phoneticPr fontId="1" type="noConversion"/>
  </si>
  <si>
    <t>GA-2</t>
  </si>
  <si>
    <t>GA-3</t>
  </si>
  <si>
    <t>GA-4</t>
  </si>
  <si>
    <t>GA-5</t>
  </si>
  <si>
    <t>GA-6</t>
  </si>
  <si>
    <t>GA-7</t>
  </si>
  <si>
    <t>GA-8</t>
  </si>
  <si>
    <t>GA-9</t>
  </si>
  <si>
    <t>GA-10</t>
  </si>
  <si>
    <t>GA-11</t>
  </si>
  <si>
    <t>GA-12</t>
  </si>
  <si>
    <t>GA-13</t>
  </si>
  <si>
    <t>GA-14</t>
  </si>
  <si>
    <t>GA-15</t>
  </si>
  <si>
    <t>GA-16</t>
  </si>
  <si>
    <t>GA-17</t>
  </si>
  <si>
    <t>GB-1</t>
    <phoneticPr fontId="1" type="noConversion"/>
  </si>
  <si>
    <t>GB-2</t>
  </si>
  <si>
    <t>GB-3</t>
  </si>
  <si>
    <t>GB-4</t>
  </si>
  <si>
    <t>GB-5</t>
  </si>
  <si>
    <t>GB-6</t>
  </si>
  <si>
    <t>GB-7</t>
  </si>
  <si>
    <t>GB-8</t>
  </si>
  <si>
    <t>GB-9</t>
  </si>
  <si>
    <t>GB-10</t>
  </si>
  <si>
    <t>GB-11</t>
  </si>
  <si>
    <t>GB-12</t>
  </si>
  <si>
    <t>GB-13</t>
  </si>
  <si>
    <t>GB-14</t>
  </si>
  <si>
    <t>GB-15</t>
  </si>
  <si>
    <t>GA-18</t>
  </si>
  <si>
    <t>GA-19</t>
  </si>
  <si>
    <t>GA-20</t>
  </si>
  <si>
    <t>Age
 (years)</t>
    <phoneticPr fontId="1" type="noConversion"/>
  </si>
  <si>
    <t>Group
(GA: group A;
GB: group B )</t>
    <phoneticPr fontId="1" type="noConversion"/>
  </si>
  <si>
    <t>Sex
(1: male;
2: female)</t>
    <phoneticPr fontId="1" type="noConversion"/>
  </si>
  <si>
    <t>Demeaned 
sex</t>
    <phoneticPr fontId="1" type="noConversion"/>
  </si>
  <si>
    <t>Demeaned
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</si>
</sst>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2" xfId="0" applyFont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NumberFormat="1" applyFont="1" applyFill="1" applyBorder="1" applyAlignment="1">
      <alignment horizontal="center"/>
    </xf>
    <xf numFmtId="0" fontId="3" fillId="0" borderId="8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5" xfId="0" applyNumberFormat="1" applyFont="1" applyFill="1" applyBorder="1" applyAlignment="1">
      <alignment horizontal="center"/>
    </xf>
    <xf numFmtId="0" fontId="3" fillId="0" borderId="9" xfId="0" applyNumberFormat="1" applyFont="1" applyFill="1" applyBorder="1" applyAlignment="1">
      <alignment horizontal="center"/>
    </xf>
    <xf numFmtId="0" fontId="4" fillId="0" borderId="9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G36" sqref="G36"/>
    </sheetView>
  </sheetViews>
  <sheetFormatPr defaultRowHeight="15" x14ac:dyDescent="0.25"/>
  <cols>
    <col min="1" max="1" width="15.375" style="1" customWidth="1"/>
    <col min="2" max="2" width="9" style="1"/>
    <col min="3" max="3" width="10.25" style="1" customWidth="1"/>
    <col min="4" max="4" width="11" style="1" customWidth="1"/>
    <col min="5" max="5" width="10.375" style="2" customWidth="1"/>
  </cols>
  <sheetData>
    <row r="1" spans="1:5" ht="43.5" thickBot="1" x14ac:dyDescent="0.25">
      <c r="A1" s="18" t="s">
        <v>36</v>
      </c>
      <c r="B1" s="19" t="s">
        <v>37</v>
      </c>
      <c r="C1" s="20" t="s">
        <v>38</v>
      </c>
      <c r="D1" s="20" t="s">
        <v>35</v>
      </c>
      <c r="E1" s="20" t="s">
        <v>39</v>
      </c>
    </row>
    <row r="2" spans="1:5" ht="18.75" x14ac:dyDescent="0.3">
      <c r="A2" s="3" t="s">
        <v>0</v>
      </c>
      <c r="B2" s="4">
        <v>2</v>
      </c>
      <c r="C2" s="5">
        <f>B2-1.51</f>
        <v>0.49</v>
      </c>
      <c r="D2" s="5">
        <v>29</v>
      </c>
      <c r="E2" s="8">
        <f>D2-31.28</f>
        <v>-2.2800000000000011</v>
      </c>
    </row>
    <row r="3" spans="1:5" ht="18.75" x14ac:dyDescent="0.3">
      <c r="A3" s="6" t="s">
        <v>1</v>
      </c>
      <c r="B3" s="7">
        <v>1</v>
      </c>
      <c r="C3" s="8">
        <f t="shared" ref="C3:C36" si="0">B3-1.51</f>
        <v>-0.51</v>
      </c>
      <c r="D3" s="8">
        <v>29</v>
      </c>
      <c r="E3" s="8">
        <f t="shared" ref="E3:E36" si="1">D3-31.28</f>
        <v>-2.2800000000000011</v>
      </c>
    </row>
    <row r="4" spans="1:5" ht="18.75" x14ac:dyDescent="0.3">
      <c r="A4" s="6" t="s">
        <v>2</v>
      </c>
      <c r="B4" s="9">
        <v>1</v>
      </c>
      <c r="C4" s="8">
        <f t="shared" si="0"/>
        <v>-0.51</v>
      </c>
      <c r="D4" s="10">
        <v>28</v>
      </c>
      <c r="E4" s="8">
        <f t="shared" si="1"/>
        <v>-3.2800000000000011</v>
      </c>
    </row>
    <row r="5" spans="1:5" ht="18.75" x14ac:dyDescent="0.3">
      <c r="A5" s="6" t="s">
        <v>3</v>
      </c>
      <c r="B5" s="9">
        <v>2</v>
      </c>
      <c r="C5" s="8">
        <f t="shared" si="0"/>
        <v>0.49</v>
      </c>
      <c r="D5" s="10">
        <v>34</v>
      </c>
      <c r="E5" s="8">
        <f t="shared" si="1"/>
        <v>2.7199999999999989</v>
      </c>
    </row>
    <row r="6" spans="1:5" ht="18.75" x14ac:dyDescent="0.3">
      <c r="A6" s="6" t="s">
        <v>4</v>
      </c>
      <c r="B6" s="9">
        <v>2</v>
      </c>
      <c r="C6" s="8">
        <f t="shared" si="0"/>
        <v>0.49</v>
      </c>
      <c r="D6" s="10">
        <v>23</v>
      </c>
      <c r="E6" s="8">
        <f t="shared" si="1"/>
        <v>-8.2800000000000011</v>
      </c>
    </row>
    <row r="7" spans="1:5" ht="18.75" x14ac:dyDescent="0.3">
      <c r="A7" s="6" t="s">
        <v>5</v>
      </c>
      <c r="B7" s="9">
        <v>2</v>
      </c>
      <c r="C7" s="8">
        <f t="shared" si="0"/>
        <v>0.49</v>
      </c>
      <c r="D7" s="10">
        <v>43</v>
      </c>
      <c r="E7" s="8">
        <f t="shared" si="1"/>
        <v>11.719999999999999</v>
      </c>
    </row>
    <row r="8" spans="1:5" ht="18.75" x14ac:dyDescent="0.3">
      <c r="A8" s="6" t="s">
        <v>6</v>
      </c>
      <c r="B8" s="7">
        <v>1</v>
      </c>
      <c r="C8" s="8">
        <f t="shared" si="0"/>
        <v>-0.51</v>
      </c>
      <c r="D8" s="8">
        <v>41</v>
      </c>
      <c r="E8" s="8">
        <f t="shared" si="1"/>
        <v>9.7199999999999989</v>
      </c>
    </row>
    <row r="9" spans="1:5" ht="18.75" x14ac:dyDescent="0.3">
      <c r="A9" s="6" t="s">
        <v>7</v>
      </c>
      <c r="B9" s="9">
        <v>1</v>
      </c>
      <c r="C9" s="8">
        <f t="shared" si="0"/>
        <v>-0.51</v>
      </c>
      <c r="D9" s="10">
        <v>27</v>
      </c>
      <c r="E9" s="8">
        <f t="shared" si="1"/>
        <v>-4.2800000000000011</v>
      </c>
    </row>
    <row r="10" spans="1:5" ht="18.75" x14ac:dyDescent="0.3">
      <c r="A10" s="6" t="s">
        <v>8</v>
      </c>
      <c r="B10" s="7">
        <v>2</v>
      </c>
      <c r="C10" s="8">
        <f t="shared" si="0"/>
        <v>0.49</v>
      </c>
      <c r="D10" s="8">
        <v>25</v>
      </c>
      <c r="E10" s="8">
        <f t="shared" si="1"/>
        <v>-6.2800000000000011</v>
      </c>
    </row>
    <row r="11" spans="1:5" ht="18.75" x14ac:dyDescent="0.3">
      <c r="A11" s="6" t="s">
        <v>9</v>
      </c>
      <c r="B11" s="7">
        <v>2</v>
      </c>
      <c r="C11" s="8">
        <f t="shared" si="0"/>
        <v>0.49</v>
      </c>
      <c r="D11" s="8">
        <v>28</v>
      </c>
      <c r="E11" s="8">
        <f t="shared" si="1"/>
        <v>-3.2800000000000011</v>
      </c>
    </row>
    <row r="12" spans="1:5" ht="18.75" x14ac:dyDescent="0.3">
      <c r="A12" s="6" t="s">
        <v>10</v>
      </c>
      <c r="B12" s="9">
        <v>2</v>
      </c>
      <c r="C12" s="8">
        <f t="shared" si="0"/>
        <v>0.49</v>
      </c>
      <c r="D12" s="10">
        <v>42</v>
      </c>
      <c r="E12" s="8">
        <f t="shared" si="1"/>
        <v>10.719999999999999</v>
      </c>
    </row>
    <row r="13" spans="1:5" ht="18.75" x14ac:dyDescent="0.3">
      <c r="A13" s="6" t="s">
        <v>11</v>
      </c>
      <c r="B13" s="9">
        <v>2</v>
      </c>
      <c r="C13" s="8">
        <f t="shared" si="0"/>
        <v>0.49</v>
      </c>
      <c r="D13" s="10">
        <v>39</v>
      </c>
      <c r="E13" s="8">
        <f t="shared" si="1"/>
        <v>7.7199999999999989</v>
      </c>
    </row>
    <row r="14" spans="1:5" ht="18.75" x14ac:dyDescent="0.3">
      <c r="A14" s="6" t="s">
        <v>12</v>
      </c>
      <c r="B14" s="9">
        <v>2</v>
      </c>
      <c r="C14" s="8">
        <f t="shared" si="0"/>
        <v>0.49</v>
      </c>
      <c r="D14" s="10">
        <v>38</v>
      </c>
      <c r="E14" s="8">
        <f t="shared" si="1"/>
        <v>6.7199999999999989</v>
      </c>
    </row>
    <row r="15" spans="1:5" ht="18.75" x14ac:dyDescent="0.3">
      <c r="A15" s="6" t="s">
        <v>13</v>
      </c>
      <c r="B15" s="9">
        <v>2</v>
      </c>
      <c r="C15" s="8">
        <f t="shared" si="0"/>
        <v>0.49</v>
      </c>
      <c r="D15" s="10">
        <v>21</v>
      </c>
      <c r="E15" s="8">
        <f t="shared" si="1"/>
        <v>-10.280000000000001</v>
      </c>
    </row>
    <row r="16" spans="1:5" ht="18.75" x14ac:dyDescent="0.3">
      <c r="A16" s="6" t="s">
        <v>14</v>
      </c>
      <c r="B16" s="9">
        <v>1</v>
      </c>
      <c r="C16" s="8">
        <f t="shared" si="0"/>
        <v>-0.51</v>
      </c>
      <c r="D16" s="10">
        <v>25</v>
      </c>
      <c r="E16" s="8">
        <f t="shared" si="1"/>
        <v>-6.2800000000000011</v>
      </c>
    </row>
    <row r="17" spans="1:5" ht="18.75" x14ac:dyDescent="0.3">
      <c r="A17" s="6" t="s">
        <v>15</v>
      </c>
      <c r="B17" s="9">
        <v>1</v>
      </c>
      <c r="C17" s="8">
        <f t="shared" si="0"/>
        <v>-0.51</v>
      </c>
      <c r="D17" s="10">
        <v>33</v>
      </c>
      <c r="E17" s="8">
        <f t="shared" si="1"/>
        <v>1.7199999999999989</v>
      </c>
    </row>
    <row r="18" spans="1:5" ht="18.75" x14ac:dyDescent="0.3">
      <c r="A18" s="6" t="s">
        <v>16</v>
      </c>
      <c r="B18" s="7">
        <v>1</v>
      </c>
      <c r="C18" s="8">
        <f t="shared" si="0"/>
        <v>-0.51</v>
      </c>
      <c r="D18" s="8">
        <v>31</v>
      </c>
      <c r="E18" s="8">
        <f t="shared" si="1"/>
        <v>-0.28000000000000114</v>
      </c>
    </row>
    <row r="19" spans="1:5" ht="18.75" x14ac:dyDescent="0.3">
      <c r="A19" s="6" t="s">
        <v>32</v>
      </c>
      <c r="B19" s="7">
        <v>2</v>
      </c>
      <c r="C19" s="8">
        <f t="shared" si="0"/>
        <v>0.49</v>
      </c>
      <c r="D19" s="8">
        <v>30</v>
      </c>
      <c r="E19" s="8">
        <f t="shared" si="1"/>
        <v>-1.2800000000000011</v>
      </c>
    </row>
    <row r="20" spans="1:5" ht="18.75" x14ac:dyDescent="0.3">
      <c r="A20" s="6" t="s">
        <v>33</v>
      </c>
      <c r="B20" s="9">
        <v>1</v>
      </c>
      <c r="C20" s="8">
        <f t="shared" si="0"/>
        <v>-0.51</v>
      </c>
      <c r="D20" s="10">
        <v>26</v>
      </c>
      <c r="E20" s="8">
        <f t="shared" si="1"/>
        <v>-5.2800000000000011</v>
      </c>
    </row>
    <row r="21" spans="1:5" ht="19.5" thickBot="1" x14ac:dyDescent="0.35">
      <c r="A21" s="11" t="s">
        <v>34</v>
      </c>
      <c r="B21" s="12">
        <v>2</v>
      </c>
      <c r="C21" s="13">
        <f t="shared" si="0"/>
        <v>0.49</v>
      </c>
      <c r="D21" s="14">
        <v>20</v>
      </c>
      <c r="E21" s="8">
        <f t="shared" si="1"/>
        <v>-11.280000000000001</v>
      </c>
    </row>
    <row r="22" spans="1:5" ht="18.75" x14ac:dyDescent="0.3">
      <c r="A22" s="3" t="s">
        <v>17</v>
      </c>
      <c r="B22" s="4">
        <v>1</v>
      </c>
      <c r="C22" s="5">
        <f t="shared" si="0"/>
        <v>-0.51</v>
      </c>
      <c r="D22" s="15">
        <v>26</v>
      </c>
      <c r="E22" s="5">
        <f t="shared" si="1"/>
        <v>-5.2800000000000011</v>
      </c>
    </row>
    <row r="23" spans="1:5" ht="18.75" x14ac:dyDescent="0.3">
      <c r="A23" s="6" t="s">
        <v>18</v>
      </c>
      <c r="B23" s="7">
        <v>1</v>
      </c>
      <c r="C23" s="8">
        <f t="shared" si="0"/>
        <v>-0.51</v>
      </c>
      <c r="D23" s="15">
        <v>48</v>
      </c>
      <c r="E23" s="8">
        <f t="shared" si="1"/>
        <v>16.72</v>
      </c>
    </row>
    <row r="24" spans="1:5" ht="18.75" x14ac:dyDescent="0.3">
      <c r="A24" s="6" t="s">
        <v>19</v>
      </c>
      <c r="B24" s="7">
        <v>2</v>
      </c>
      <c r="C24" s="8">
        <f t="shared" si="0"/>
        <v>0.49</v>
      </c>
      <c r="D24" s="15">
        <v>29</v>
      </c>
      <c r="E24" s="8">
        <f t="shared" si="1"/>
        <v>-2.2800000000000011</v>
      </c>
    </row>
    <row r="25" spans="1:5" ht="18.75" x14ac:dyDescent="0.3">
      <c r="A25" s="6" t="s">
        <v>20</v>
      </c>
      <c r="B25" s="7">
        <v>2</v>
      </c>
      <c r="C25" s="8">
        <f t="shared" si="0"/>
        <v>0.49</v>
      </c>
      <c r="D25" s="15">
        <v>36</v>
      </c>
      <c r="E25" s="8">
        <f t="shared" si="1"/>
        <v>4.7199999999999989</v>
      </c>
    </row>
    <row r="26" spans="1:5" ht="18.75" x14ac:dyDescent="0.3">
      <c r="A26" s="6" t="s">
        <v>21</v>
      </c>
      <c r="B26" s="7">
        <v>2</v>
      </c>
      <c r="C26" s="8">
        <f t="shared" si="0"/>
        <v>0.49</v>
      </c>
      <c r="D26" s="15">
        <v>26</v>
      </c>
      <c r="E26" s="8">
        <f t="shared" si="1"/>
        <v>-5.2800000000000011</v>
      </c>
    </row>
    <row r="27" spans="1:5" ht="18.75" x14ac:dyDescent="0.3">
      <c r="A27" s="6" t="s">
        <v>22</v>
      </c>
      <c r="B27" s="7">
        <v>1</v>
      </c>
      <c r="C27" s="8">
        <f t="shared" si="0"/>
        <v>-0.51</v>
      </c>
      <c r="D27" s="15">
        <v>23</v>
      </c>
      <c r="E27" s="8">
        <f t="shared" si="1"/>
        <v>-8.2800000000000011</v>
      </c>
    </row>
    <row r="28" spans="1:5" ht="18.75" x14ac:dyDescent="0.3">
      <c r="A28" s="6" t="s">
        <v>23</v>
      </c>
      <c r="B28" s="7">
        <v>1</v>
      </c>
      <c r="C28" s="8">
        <f t="shared" si="0"/>
        <v>-0.51</v>
      </c>
      <c r="D28" s="15">
        <v>20</v>
      </c>
      <c r="E28" s="8">
        <f t="shared" si="1"/>
        <v>-11.280000000000001</v>
      </c>
    </row>
    <row r="29" spans="1:5" ht="18.75" x14ac:dyDescent="0.3">
      <c r="A29" s="6" t="s">
        <v>24</v>
      </c>
      <c r="B29" s="7">
        <v>1</v>
      </c>
      <c r="C29" s="8">
        <f t="shared" si="0"/>
        <v>-0.51</v>
      </c>
      <c r="D29" s="15">
        <v>38</v>
      </c>
      <c r="E29" s="8">
        <f t="shared" si="1"/>
        <v>6.7199999999999989</v>
      </c>
    </row>
    <row r="30" spans="1:5" ht="18.75" x14ac:dyDescent="0.3">
      <c r="A30" s="6" t="s">
        <v>25</v>
      </c>
      <c r="B30" s="7">
        <v>1</v>
      </c>
      <c r="C30" s="8">
        <f t="shared" si="0"/>
        <v>-0.51</v>
      </c>
      <c r="D30" s="15">
        <v>32</v>
      </c>
      <c r="E30" s="8">
        <f t="shared" si="1"/>
        <v>0.71999999999999886</v>
      </c>
    </row>
    <row r="31" spans="1:5" ht="18.75" x14ac:dyDescent="0.3">
      <c r="A31" s="6" t="s">
        <v>26</v>
      </c>
      <c r="B31" s="7">
        <v>1</v>
      </c>
      <c r="C31" s="8">
        <f t="shared" si="0"/>
        <v>-0.51</v>
      </c>
      <c r="D31" s="15">
        <v>21</v>
      </c>
      <c r="E31" s="8">
        <f t="shared" si="1"/>
        <v>-10.280000000000001</v>
      </c>
    </row>
    <row r="32" spans="1:5" ht="18.75" x14ac:dyDescent="0.3">
      <c r="A32" s="6" t="s">
        <v>27</v>
      </c>
      <c r="B32" s="7">
        <v>2</v>
      </c>
      <c r="C32" s="8">
        <f t="shared" si="0"/>
        <v>0.49</v>
      </c>
      <c r="D32" s="15">
        <v>28</v>
      </c>
      <c r="E32" s="8">
        <f t="shared" si="1"/>
        <v>-3.2800000000000011</v>
      </c>
    </row>
    <row r="33" spans="1:5" ht="18.75" x14ac:dyDescent="0.3">
      <c r="A33" s="6" t="s">
        <v>28</v>
      </c>
      <c r="B33" s="7">
        <v>2</v>
      </c>
      <c r="C33" s="8">
        <f t="shared" si="0"/>
        <v>0.49</v>
      </c>
      <c r="D33" s="15">
        <v>38</v>
      </c>
      <c r="E33" s="8">
        <f t="shared" si="1"/>
        <v>6.7199999999999989</v>
      </c>
    </row>
    <row r="34" spans="1:5" ht="18.75" x14ac:dyDescent="0.3">
      <c r="A34" s="6" t="s">
        <v>29</v>
      </c>
      <c r="B34" s="7">
        <v>1</v>
      </c>
      <c r="C34" s="8">
        <f t="shared" si="0"/>
        <v>-0.51</v>
      </c>
      <c r="D34" s="15">
        <v>37</v>
      </c>
      <c r="E34" s="8">
        <f t="shared" si="1"/>
        <v>5.7199999999999989</v>
      </c>
    </row>
    <row r="35" spans="1:5" ht="18.75" x14ac:dyDescent="0.3">
      <c r="A35" s="6" t="s">
        <v>30</v>
      </c>
      <c r="B35" s="7">
        <v>2</v>
      </c>
      <c r="C35" s="8">
        <f t="shared" si="0"/>
        <v>0.49</v>
      </c>
      <c r="D35" s="15">
        <v>43</v>
      </c>
      <c r="E35" s="8">
        <f t="shared" si="1"/>
        <v>11.719999999999999</v>
      </c>
    </row>
    <row r="36" spans="1:5" ht="19.5" thickBot="1" x14ac:dyDescent="0.35">
      <c r="A36" s="11" t="s">
        <v>31</v>
      </c>
      <c r="B36" s="16">
        <v>1</v>
      </c>
      <c r="C36" s="13">
        <f t="shared" si="0"/>
        <v>-0.51</v>
      </c>
      <c r="D36" s="17">
        <v>38</v>
      </c>
      <c r="E36" s="13">
        <f t="shared" si="1"/>
        <v>6.7199999999999989</v>
      </c>
    </row>
    <row r="37" spans="1:5" x14ac:dyDescent="0.25">
      <c r="B37" s="1">
        <f>AVERAGE(B2:B36)</f>
        <v>1.5142857142857142</v>
      </c>
      <c r="D37" s="1">
        <f>AVERAGE(D2:D36)</f>
        <v>31.285714285714285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2025-12-18T03:24:02Z</dcterms:modified>
</cp:coreProperties>
</file>